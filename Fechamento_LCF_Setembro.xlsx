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emb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\ #,##0.00;[Red]-&quot;R$&quot;\ #,##0.00"/>
  </numFmts>
  <fonts count="6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1"/>
    </font>
    <font>
      <name val="Calibri"/>
      <sz val="11"/>
    </font>
    <font>
      <name val="Calibri"/>
      <b val="1"/>
      <color rgb="FF1F4E79"/>
      <sz val="12"/>
    </font>
    <font>
      <name val="Calibri"/>
      <i val="1"/>
      <color rgb="FFC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3" customWidth="1" min="4" max="4"/>
    <col width="12" customWidth="1" min="5" max="5"/>
    <col width="11" customWidth="1" min="6" max="6"/>
    <col width="15" customWidth="1" min="7" max="7"/>
    <col width="3" customWidth="1" min="8" max="8"/>
    <col width="12" customWidth="1" min="9" max="9"/>
    <col width="15" customWidth="1" min="10" max="10"/>
  </cols>
  <sheetData>
    <row r="1">
      <c r="A1" s="1" t="inlineStr">
        <is>
          <t>Fechamento LCF Asfaltos - Setembro</t>
        </is>
      </c>
    </row>
    <row r="3">
      <c r="A3" s="2" t="inlineStr">
        <is>
          <t>A receber LCF - Massa asfaltica</t>
        </is>
      </c>
      <c r="B3" s="3" t="n"/>
      <c r="C3" s="3" t="n"/>
      <c r="E3" s="2" t="inlineStr">
        <is>
          <t>Combustivel Usina</t>
        </is>
      </c>
      <c r="F3" s="3" t="n"/>
      <c r="G3" s="3" t="n"/>
      <c r="I3" s="2" t="inlineStr">
        <is>
          <t>Combustivel Posto Bianchini</t>
        </is>
      </c>
      <c r="J3" s="3" t="n"/>
    </row>
    <row r="5">
      <c r="A5" s="2" t="inlineStr">
        <is>
          <t>Placa</t>
        </is>
      </c>
      <c r="B5" s="2" t="inlineStr">
        <is>
          <t>Peso (ton)</t>
        </is>
      </c>
      <c r="C5" s="2" t="inlineStr">
        <is>
          <t>Total</t>
        </is>
      </c>
      <c r="E5" s="2" t="inlineStr">
        <is>
          <t>Placa</t>
        </is>
      </c>
      <c r="F5" s="2" t="inlineStr">
        <is>
          <t>Litros</t>
        </is>
      </c>
      <c r="G5" s="2" t="inlineStr">
        <is>
          <t>Valor</t>
        </is>
      </c>
      <c r="I5" s="2" t="inlineStr">
        <is>
          <t>Placa</t>
        </is>
      </c>
      <c r="J5" s="2" t="inlineStr">
        <is>
          <t>Valor</t>
        </is>
      </c>
    </row>
    <row r="6">
      <c r="A6" s="4" t="inlineStr">
        <is>
          <t>NFZ4G25</t>
        </is>
      </c>
      <c r="B6" s="5" t="n">
        <v>434.92</v>
      </c>
      <c r="C6" s="6">
        <f>ROUND(B6*$B$15,2)</f>
        <v/>
      </c>
      <c r="E6" s="4" t="inlineStr">
        <is>
          <t>NFZ4G25</t>
        </is>
      </c>
      <c r="F6" s="5" t="n">
        <v>1092</v>
      </c>
      <c r="G6" s="6">
        <f>ROUND(F6*$F$15,2)</f>
        <v/>
      </c>
      <c r="I6" s="4" t="inlineStr">
        <is>
          <t>NEA8J03</t>
        </is>
      </c>
      <c r="J6" s="6" t="n">
        <v>2093</v>
      </c>
    </row>
    <row r="7">
      <c r="A7" s="4" t="inlineStr">
        <is>
          <t>NEA8J03</t>
        </is>
      </c>
      <c r="B7" s="5" t="n">
        <v>305.01</v>
      </c>
      <c r="C7" s="6">
        <f>ROUND(B7*$B$15,2)</f>
        <v/>
      </c>
      <c r="E7" s="4" t="inlineStr">
        <is>
          <t>NEA8J03</t>
        </is>
      </c>
      <c r="F7" s="5" t="n">
        <v>0</v>
      </c>
      <c r="G7" s="6">
        <f>ROUND(F7*$F$15,2)</f>
        <v/>
      </c>
      <c r="I7" s="4" t="inlineStr">
        <is>
          <t>LRU6E78</t>
        </is>
      </c>
      <c r="J7" s="6" t="n">
        <v>892.53</v>
      </c>
    </row>
    <row r="8">
      <c r="A8" s="4" t="inlineStr">
        <is>
          <t>LRU6E78</t>
        </is>
      </c>
      <c r="B8" s="5" t="n">
        <v>330.98</v>
      </c>
      <c r="C8" s="6">
        <f>ROUND(B8*$B$15,2)</f>
        <v/>
      </c>
      <c r="E8" s="4" t="inlineStr">
        <is>
          <t>LRU6E78</t>
        </is>
      </c>
      <c r="F8" s="5" t="n">
        <v>401</v>
      </c>
      <c r="G8" s="6">
        <f>ROUND(F8*$F$15,2)</f>
        <v/>
      </c>
    </row>
    <row r="9">
      <c r="A9" s="4" t="inlineStr">
        <is>
          <t>HJU6E28</t>
        </is>
      </c>
      <c r="B9" s="5" t="n">
        <v>559.58</v>
      </c>
      <c r="C9" s="6">
        <f>ROUND(B9*$B$15,2)</f>
        <v/>
      </c>
      <c r="E9" s="4" t="inlineStr">
        <is>
          <t>HJU6E28</t>
        </is>
      </c>
      <c r="F9" s="5" t="n">
        <v>1359</v>
      </c>
      <c r="G9" s="6">
        <f>ROUND(F9*$F$15,2)</f>
        <v/>
      </c>
      <c r="I9" s="2" t="inlineStr">
        <is>
          <t>Total:</t>
        </is>
      </c>
      <c r="J9" s="7">
        <f>SUM(J6:J7)</f>
        <v/>
      </c>
    </row>
    <row r="10">
      <c r="A10" s="4" t="inlineStr">
        <is>
          <t>MZP9I31</t>
        </is>
      </c>
      <c r="B10" s="5" t="n">
        <v>432.57</v>
      </c>
      <c r="C10" s="6">
        <f>ROUND(B10*$B$15,2)</f>
        <v/>
      </c>
      <c r="E10" s="4" t="inlineStr">
        <is>
          <t>MZP9I31</t>
        </is>
      </c>
      <c r="F10" s="5" t="n">
        <v>648</v>
      </c>
      <c r="G10" s="6">
        <f>ROUND(F10*$F$15,2)</f>
        <v/>
      </c>
    </row>
    <row r="11">
      <c r="A11" s="4" t="inlineStr">
        <is>
          <t>QZG1D49</t>
        </is>
      </c>
      <c r="B11" s="5" t="n">
        <v>310.89</v>
      </c>
      <c r="C11" s="6">
        <f>ROUND(B11*$B$15,2)</f>
        <v/>
      </c>
      <c r="E11" s="4" t="inlineStr">
        <is>
          <t>QZG1D49</t>
        </is>
      </c>
      <c r="F11" s="5" t="n">
        <v>594</v>
      </c>
      <c r="G11" s="6">
        <f>ROUND(F11*$F$15,2)</f>
        <v/>
      </c>
    </row>
    <row r="12">
      <c r="A12" s="4" t="inlineStr">
        <is>
          <t>HIJ3I56</t>
        </is>
      </c>
      <c r="B12" s="5" t="n">
        <v>162.32</v>
      </c>
      <c r="C12" s="6">
        <f>ROUND(B12*$B$15,2)</f>
        <v/>
      </c>
      <c r="E12" s="4" t="inlineStr">
        <is>
          <t>HIJ3I56</t>
        </is>
      </c>
      <c r="F12" s="5" t="n">
        <v>0</v>
      </c>
      <c r="G12" s="6">
        <f>ROUND(F12*$F$15,2)</f>
        <v/>
      </c>
    </row>
    <row r="13">
      <c r="A13" s="2" t="inlineStr">
        <is>
          <t>Total:</t>
        </is>
      </c>
      <c r="B13" s="8">
        <f>SUM(B6:B12)</f>
        <v/>
      </c>
      <c r="C13" s="7">
        <f>SUM(C6:C12)</f>
        <v/>
      </c>
      <c r="E13" s="2" t="inlineStr">
        <is>
          <t>Total:</t>
        </is>
      </c>
      <c r="F13" s="8">
        <f>SUM(F6:F12)</f>
        <v/>
      </c>
      <c r="G13" s="7">
        <f>SUM(G6:G12)</f>
        <v/>
      </c>
    </row>
    <row r="15">
      <c r="A15" s="2" t="inlineStr">
        <is>
          <t>Valor Ton.:</t>
        </is>
      </c>
      <c r="B15" s="6" t="n">
        <v>55.55</v>
      </c>
      <c r="E15" s="2" t="inlineStr">
        <is>
          <t>Valor LT:</t>
        </is>
      </c>
      <c r="F15" s="6" t="n">
        <v>6.95</v>
      </c>
    </row>
    <row r="18">
      <c r="A18" s="2" t="inlineStr">
        <is>
          <t>Fechamento</t>
        </is>
      </c>
      <c r="B18" s="3" t="n"/>
      <c r="C18" s="3" t="n"/>
    </row>
    <row r="19">
      <c r="A19" s="4" t="inlineStr">
        <is>
          <t>Frete a receber</t>
        </is>
      </c>
      <c r="B19" s="3" t="n"/>
      <c r="C19" s="6">
        <f>C13</f>
        <v/>
      </c>
    </row>
    <row r="20">
      <c r="A20" s="4" t="inlineStr">
        <is>
          <t>(+) Alimentacao Pimenta</t>
        </is>
      </c>
      <c r="B20" s="3" t="n"/>
      <c r="C20" s="6" t="n">
        <v>1160</v>
      </c>
    </row>
    <row r="21">
      <c r="A21" s="4" t="inlineStr">
        <is>
          <t>(-) Combustivel Usina</t>
        </is>
      </c>
      <c r="B21" s="3" t="n"/>
      <c r="C21" s="6">
        <f>-G13</f>
        <v/>
      </c>
    </row>
    <row r="22">
      <c r="A22" s="4" t="inlineStr">
        <is>
          <t>(-) Combustivel Posto Bianchini</t>
        </is>
      </c>
      <c r="B22" s="3" t="n"/>
      <c r="C22" s="6">
        <f>-J9</f>
        <v/>
      </c>
    </row>
    <row r="23">
      <c r="A23" s="4" t="inlineStr">
        <is>
          <t>(-) Adiantamento</t>
        </is>
      </c>
      <c r="B23" s="3" t="n"/>
      <c r="C23" s="6" t="n">
        <v>-50000</v>
      </c>
    </row>
    <row r="25">
      <c r="A25" s="9" t="inlineStr">
        <is>
          <t>Saldo a Receber</t>
        </is>
      </c>
      <c r="B25" s="3" t="n"/>
      <c r="C25" s="10">
        <f>SUM(C19:C23)</f>
        <v/>
      </c>
    </row>
    <row r="27">
      <c r="A27" s="2" t="inlineStr">
        <is>
          <t>PIX / Favorecido:</t>
        </is>
      </c>
      <c r="C27" s="4" t="n"/>
    </row>
    <row r="29">
      <c r="A29" s="11" t="inlineStr">
        <is>
          <t>Obs.: na folha manuscrita o frete esta R$ 140.902,22 (saldo R$ 60.623,39). Pelo calculo, 2.536,27 t x R$ 55,55 = R$ 140.889,80. Diferenca de R$ 12,42 - conferir.</t>
        </is>
      </c>
    </row>
    <row r="30">
      <c r="A30" s="11" t="inlineStr">
        <is>
          <t>Obs.: conferir a placa QZG1D49 (leitura incerta na folha).</t>
        </is>
      </c>
    </row>
  </sheetData>
  <mergeCells count="11">
    <mergeCell ref="A20:B20"/>
    <mergeCell ref="A21:B21"/>
    <mergeCell ref="A25:B25"/>
    <mergeCell ref="A19:B19"/>
    <mergeCell ref="A18:C18"/>
    <mergeCell ref="A3:C3"/>
    <mergeCell ref="E3:G3"/>
    <mergeCell ref="A23:B23"/>
    <mergeCell ref="A27:B27"/>
    <mergeCell ref="A22:B22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2026-10-08T13:50:28Z</dcterms:created>
  <dcterms:modified xsi:type="dcterms:W3CDTF">2026-10-08T13:50:28Z</dcterms:modified>
</cp:coreProperties>
</file>
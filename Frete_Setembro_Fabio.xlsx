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etemb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R$&quot;\ 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3"/>
    </font>
    <font>
      <name val="Calibri"/>
      <b val="1"/>
      <color rgb="FF1F4E79"/>
      <sz val="12"/>
    </font>
    <font>
      <name val="Calibri"/>
      <b val="1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1" customWidth="1" min="2" max="3"/>
    <col width="14" customWidth="1" min="4" max="4"/>
    <col width="3" customWidth="1" min="5" max="5"/>
    <col width="10" customWidth="1" min="6" max="6"/>
    <col width="15" customWidth="1" min="7" max="7"/>
    <col width="13" customWidth="1" min="8" max="8"/>
    <col width="3" customWidth="1" min="9" max="9"/>
    <col width="10" customWidth="1" min="10" max="10"/>
    <col width="11" customWidth="1" min="11" max="11"/>
    <col width="14" customWidth="1" min="12" max="12"/>
  </cols>
  <sheetData>
    <row r="1">
      <c r="A1" s="15" t="inlineStr">
        <is>
          <t>Motorista: FABIO - Iveco placa HIJ3I56</t>
        </is>
      </c>
    </row>
    <row r="3">
      <c r="A3" s="11" t="inlineStr">
        <is>
          <t>Puxa massa asfaltica PimentaxCacoal</t>
        </is>
      </c>
      <c r="B3" s="16" t="n"/>
      <c r="C3" s="16" t="n"/>
      <c r="D3" s="17" t="n"/>
      <c r="F3" s="11" t="inlineStr">
        <is>
          <t>Pedagio Ida e Volta</t>
        </is>
      </c>
      <c r="G3" s="16" t="n"/>
      <c r="H3" s="17" t="n"/>
      <c r="J3" s="11" t="inlineStr">
        <is>
          <t>Abastecimento</t>
        </is>
      </c>
      <c r="K3" s="16" t="n"/>
      <c r="L3" s="17" t="n"/>
    </row>
    <row r="4">
      <c r="A4" s="14" t="n"/>
      <c r="B4" s="14" t="n"/>
      <c r="C4" s="14" t="n"/>
      <c r="D4" s="14" t="n"/>
      <c r="F4" s="14" t="n"/>
      <c r="G4" s="14" t="n"/>
      <c r="H4" s="14" t="n"/>
      <c r="J4" s="14" t="n"/>
      <c r="K4" s="14" t="n"/>
      <c r="L4" s="14" t="n"/>
    </row>
    <row r="5">
      <c r="A5" s="11" t="inlineStr">
        <is>
          <t>Data</t>
        </is>
      </c>
      <c r="B5" s="11" t="inlineStr">
        <is>
          <t>Peso (kg)</t>
        </is>
      </c>
      <c r="C5" s="11" t="inlineStr">
        <is>
          <t>Valor Ton.</t>
        </is>
      </c>
      <c r="D5" s="11" t="inlineStr">
        <is>
          <t>Total</t>
        </is>
      </c>
      <c r="F5" s="11" t="inlineStr">
        <is>
          <t>Data</t>
        </is>
      </c>
      <c r="G5" s="11" t="inlineStr">
        <is>
          <t>Valor Carregado</t>
        </is>
      </c>
      <c r="H5" s="11" t="inlineStr">
        <is>
          <t>Volta Vazio</t>
        </is>
      </c>
      <c r="J5" s="11" t="inlineStr">
        <is>
          <t>Data</t>
        </is>
      </c>
      <c r="K5" s="11" t="inlineStr">
        <is>
          <t>Quant. LT</t>
        </is>
      </c>
      <c r="L5" s="11" t="inlineStr">
        <is>
          <t>Valor</t>
        </is>
      </c>
    </row>
    <row r="6">
      <c r="A6" s="3" t="inlineStr">
        <is>
          <t>14/set</t>
        </is>
      </c>
      <c r="B6" s="4" t="n">
        <v>17950</v>
      </c>
      <c r="C6" s="5" t="n">
        <v>46.6666</v>
      </c>
      <c r="D6" s="6">
        <f>ROUND(B6*C6/1000,2)</f>
        <v/>
      </c>
      <c r="F6" s="3" t="inlineStr">
        <is>
          <t>14/set</t>
        </is>
      </c>
      <c r="G6" s="6" t="n">
        <v>30.6</v>
      </c>
      <c r="H6" s="6" t="n">
        <v>20.4</v>
      </c>
      <c r="J6" s="3" t="n"/>
      <c r="K6" s="7" t="n"/>
      <c r="L6" s="6" t="n">
        <v>743</v>
      </c>
    </row>
    <row r="7">
      <c r="A7" s="3" t="inlineStr">
        <is>
          <t>16/set</t>
        </is>
      </c>
      <c r="B7" s="4" t="n">
        <v>18830</v>
      </c>
      <c r="C7" s="5" t="n">
        <v>46.6666</v>
      </c>
      <c r="D7" s="6">
        <f>ROUND(B7*C7/1000,2)</f>
        <v/>
      </c>
      <c r="F7" s="3" t="inlineStr">
        <is>
          <t>16/set</t>
        </is>
      </c>
      <c r="G7" s="6" t="n">
        <v>30.6</v>
      </c>
      <c r="H7" s="6" t="n">
        <v>20.4</v>
      </c>
      <c r="J7" s="3" t="n"/>
      <c r="K7" s="7" t="n"/>
      <c r="L7" s="6" t="n"/>
    </row>
    <row r="8">
      <c r="A8" s="3" t="n"/>
      <c r="B8" s="4" t="n">
        <v>18080</v>
      </c>
      <c r="C8" s="5" t="n">
        <v>46.6666</v>
      </c>
      <c r="D8" s="6">
        <f>ROUND(B8*C8/1000,2)</f>
        <v/>
      </c>
      <c r="F8" s="3" t="n"/>
      <c r="G8" s="6" t="n">
        <v>30.6</v>
      </c>
      <c r="H8" s="6" t="n">
        <v>20.4</v>
      </c>
      <c r="J8" s="3" t="n"/>
      <c r="K8" s="7" t="n"/>
      <c r="L8" s="6" t="n"/>
    </row>
    <row r="9">
      <c r="A9" s="3" t="inlineStr">
        <is>
          <t>18/set</t>
        </is>
      </c>
      <c r="B9" s="4" t="n">
        <v>18220</v>
      </c>
      <c r="C9" s="5" t="n">
        <v>46.6666</v>
      </c>
      <c r="D9" s="6">
        <f>ROUND(B9*C9/1000,2)</f>
        <v/>
      </c>
      <c r="F9" s="3" t="inlineStr">
        <is>
          <t>18/set</t>
        </is>
      </c>
      <c r="G9" s="6" t="n">
        <v>30.6</v>
      </c>
      <c r="H9" s="6" t="n">
        <v>20.4</v>
      </c>
      <c r="J9" s="11" t="inlineStr">
        <is>
          <t>Valor Total:</t>
        </is>
      </c>
      <c r="K9" s="17" t="n"/>
      <c r="L9" s="13">
        <f>SUM(L6:L8)</f>
        <v/>
      </c>
    </row>
    <row r="10">
      <c r="A10" s="3" t="inlineStr">
        <is>
          <t>24/set</t>
        </is>
      </c>
      <c r="B10" s="4" t="n">
        <v>17080</v>
      </c>
      <c r="C10" s="5" t="n">
        <v>46.6666</v>
      </c>
      <c r="D10" s="6">
        <f>ROUND(B10*C10/1000,2)</f>
        <v/>
      </c>
      <c r="F10" s="3" t="inlineStr">
        <is>
          <t>24/set</t>
        </is>
      </c>
      <c r="G10" s="6" t="n">
        <v>30.6</v>
      </c>
      <c r="H10" s="6" t="n">
        <v>20.4</v>
      </c>
    </row>
    <row r="11">
      <c r="A11" s="3" t="n"/>
      <c r="B11" s="4" t="n"/>
      <c r="C11" s="5" t="n"/>
      <c r="D11" s="6" t="n"/>
      <c r="F11" s="3" t="n"/>
      <c r="G11" s="6" t="n"/>
      <c r="H11" s="6" t="n"/>
    </row>
    <row r="12">
      <c r="A12" s="3" t="n"/>
      <c r="B12" s="4" t="n"/>
      <c r="C12" s="5" t="n"/>
      <c r="D12" s="6" t="n"/>
      <c r="F12" s="3" t="n"/>
      <c r="G12" s="6" t="n"/>
      <c r="H12" s="6" t="n"/>
      <c r="J12" s="11" t="inlineStr">
        <is>
          <t>Adiantamento</t>
        </is>
      </c>
      <c r="K12" s="16" t="n"/>
      <c r="L12" s="17" t="n"/>
    </row>
    <row r="13">
      <c r="A13" s="3" t="n"/>
      <c r="B13" s="4" t="n"/>
      <c r="C13" s="5" t="n"/>
      <c r="D13" s="6" t="n"/>
      <c r="F13" s="3" t="n"/>
      <c r="G13" s="6" t="n"/>
      <c r="H13" s="6" t="n"/>
      <c r="J13" s="11" t="inlineStr">
        <is>
          <t>Valor:</t>
        </is>
      </c>
      <c r="K13" s="17" t="n"/>
      <c r="L13" s="13" t="n"/>
    </row>
    <row r="14">
      <c r="A14" s="3" t="n"/>
      <c r="B14" s="4" t="n"/>
      <c r="C14" s="5" t="n"/>
      <c r="D14" s="6" t="n"/>
      <c r="F14" s="3" t="n"/>
      <c r="G14" s="6" t="n"/>
      <c r="H14" s="6" t="n"/>
    </row>
    <row r="15">
      <c r="A15" s="3" t="n"/>
      <c r="B15" s="4" t="n"/>
      <c r="C15" s="5" t="n"/>
      <c r="D15" s="6" t="n"/>
      <c r="F15" s="3" t="n"/>
      <c r="G15" s="6" t="n"/>
      <c r="H15" s="6" t="n"/>
      <c r="J15" s="12" t="inlineStr">
        <is>
          <t>Total a Receber</t>
        </is>
      </c>
      <c r="K15" s="16" t="n"/>
      <c r="L15" s="17" t="n"/>
    </row>
    <row r="16">
      <c r="A16" s="3" t="n"/>
      <c r="B16" s="4" t="n"/>
      <c r="C16" s="5" t="n"/>
      <c r="D16" s="6" t="n"/>
      <c r="F16" s="3" t="n"/>
      <c r="G16" s="6" t="n"/>
      <c r="H16" s="6" t="n"/>
      <c r="J16" s="10">
        <f>D21+G22-L9-L13</f>
        <v/>
      </c>
      <c r="K16" s="16" t="n"/>
      <c r="L16" s="17" t="n"/>
    </row>
    <row r="17">
      <c r="A17" s="3" t="n"/>
      <c r="B17" s="4" t="n"/>
      <c r="C17" s="5" t="n"/>
      <c r="D17" s="6" t="n"/>
      <c r="F17" s="3" t="n"/>
      <c r="G17" s="6" t="n"/>
      <c r="H17" s="6" t="n"/>
    </row>
    <row r="18">
      <c r="A18" s="3" t="n"/>
      <c r="B18" s="4" t="n"/>
      <c r="C18" s="5" t="n"/>
      <c r="D18" s="6" t="n"/>
      <c r="F18" s="3" t="n"/>
      <c r="G18" s="6" t="n"/>
      <c r="H18" s="6" t="n"/>
    </row>
    <row r="19">
      <c r="A19" s="3" t="n"/>
      <c r="B19" s="4" t="n"/>
      <c r="C19" s="5" t="n"/>
      <c r="D19" s="6" t="n"/>
      <c r="F19" s="3" t="n"/>
      <c r="G19" s="6" t="n"/>
      <c r="H19" s="6" t="n"/>
    </row>
    <row r="20">
      <c r="A20" s="3" t="n"/>
      <c r="B20" s="4" t="n"/>
      <c r="C20" s="5" t="n"/>
      <c r="D20" s="6" t="n"/>
      <c r="F20" s="3" t="n"/>
      <c r="G20" s="6" t="n"/>
      <c r="H20" s="6" t="n"/>
    </row>
    <row r="21">
      <c r="A21" s="11" t="inlineStr">
        <is>
          <t>Peso Total:</t>
        </is>
      </c>
      <c r="B21" s="9">
        <f>SUM(B6:B20)</f>
        <v/>
      </c>
      <c r="C21" s="11" t="inlineStr">
        <is>
          <t>Valor Total:</t>
        </is>
      </c>
      <c r="D21" s="13">
        <f>SUM(D6:D20)</f>
        <v/>
      </c>
      <c r="F21" s="11" t="inlineStr">
        <is>
          <t>Total:</t>
        </is>
      </c>
      <c r="G21" s="13">
        <f>SUM(G6:G20)</f>
        <v/>
      </c>
      <c r="H21" s="13">
        <f>SUM(H6:H20)</f>
        <v/>
      </c>
    </row>
    <row r="22">
      <c r="F22" s="11" t="inlineStr">
        <is>
          <t>Total:</t>
        </is>
      </c>
      <c r="G22" s="13">
        <f>G21+H21</f>
        <v/>
      </c>
      <c r="H22" s="17" t="n"/>
    </row>
  </sheetData>
  <mergeCells count="9">
    <mergeCell ref="J16:L16"/>
    <mergeCell ref="J13:K13"/>
    <mergeCell ref="A3:D3"/>
    <mergeCell ref="J15:L15"/>
    <mergeCell ref="G22:H22"/>
    <mergeCell ref="J12:L12"/>
    <mergeCell ref="F3:H3"/>
    <mergeCell ref="J3:L3"/>
    <mergeCell ref="J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2026-09-30T12:51:21Z</dcterms:created>
  <dcterms:modified xsi:type="dcterms:W3CDTF">2026-09-30T13:59:37Z</dcterms:modified>
</cp:coreProperties>
</file>